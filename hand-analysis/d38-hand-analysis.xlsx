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tlobri\03_Experiments\03_Neurite-Cilia\EXP_E6\EXP_E6_251106\d38\40x FOVs\Analysis by hand\"/>
    </mc:Choice>
  </mc:AlternateContent>
  <xr:revisionPtr revIDLastSave="0" documentId="13_ncr:1_{2CD881E2-8352-40AB-96A1-BADAEDD00908}" xr6:coauthVersionLast="47" xr6:coauthVersionMax="47" xr10:uidLastSave="{00000000-0000-0000-0000-000000000000}"/>
  <bookViews>
    <workbookView xWindow="0" yWindow="2160" windowWidth="27045" windowHeight="143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15" i="1"/>
  <c r="E1" i="1"/>
  <c r="E15" i="1"/>
  <c r="D4" i="1"/>
  <c r="D5" i="1"/>
  <c r="D6" i="1"/>
  <c r="D7" i="1"/>
  <c r="D8" i="1"/>
  <c r="D9" i="1"/>
  <c r="D10" i="1"/>
  <c r="D11" i="1"/>
  <c r="D12" i="1"/>
  <c r="D13" i="1"/>
  <c r="D14" i="1"/>
  <c r="D3" i="1"/>
  <c r="E4" i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<sst xmlns="http://schemas.openxmlformats.org/spreadsheetml/2006/main" count="32" uniqueCount="31">
  <si>
    <t>Filename</t>
  </si>
  <si>
    <t xml:space="preserve">Centrosomes </t>
  </si>
  <si>
    <t>Cilia</t>
  </si>
  <si>
    <t>On soma</t>
  </si>
  <si>
    <t>E6_gCl.5_405DAPI_488PCNT_568AC3_647MAP2_d38_1_40x_2026-06-02_1_F0</t>
  </si>
  <si>
    <t>Nuclei</t>
  </si>
  <si>
    <t>On neurite close</t>
  </si>
  <si>
    <t>on neurite far</t>
  </si>
  <si>
    <t>E6_gCl.5_405DAPI_488PCNT_568AC3_647MAP2_d38_1_40x_2026-06-02_1_F1</t>
  </si>
  <si>
    <t>Centrosomes on neurites</t>
  </si>
  <si>
    <t>?</t>
  </si>
  <si>
    <t>E6_gCl.5_405DAPI_488PCNT_568AC3_647MAP2_d38_1_40x_2026-06-02_1_F2</t>
  </si>
  <si>
    <t>2?</t>
  </si>
  <si>
    <t>1?</t>
  </si>
  <si>
    <t>E6_gCl.5_405DAPI_488PCNT_568AC3_647MAP2_d38_1_40x_2026-06-02_1_F3</t>
  </si>
  <si>
    <t>E6_gCl.5_405DAPI_488PCNT_568AC3_647MAP2_d38_3-10_40x_2026-06-02_F00</t>
  </si>
  <si>
    <t>comments</t>
  </si>
  <si>
    <t>one of the two cilia is just a dot and the other is on a neurite but close to a dead cell</t>
  </si>
  <si>
    <t>E6_gCl.5_405DAPI_488PCNT_568AC3_647MAP2_d38_3-10_40x_2026-06-02_F01</t>
  </si>
  <si>
    <t>E6_gCl.5_405DAPI_488PCNT_568AC3_647MAP2_d38_3-10_40x_2026-06-02_F02</t>
  </si>
  <si>
    <t>one quite close to a soma probably on an extended one</t>
  </si>
  <si>
    <t>E6_gCl.5_405DAPI_488PCNT_568AC3_647MAP2_d38_3-10_40x_2026-06-02_F03</t>
  </si>
  <si>
    <t>E6_gCl.5_405DAPI_488PCNT_568AC3_647MAP2_d38_3-10_40x_2026-06-02_F04</t>
  </si>
  <si>
    <t>close to soma</t>
  </si>
  <si>
    <t>E6_gCl.5_405DAPI_488PCNT_568AC3_647MAP2_d38_3-10_40x_2026-06-02_F05</t>
  </si>
  <si>
    <t>the one close is on parallel bundles, unsure</t>
  </si>
  <si>
    <t>E6_gCl.5_405DAPI_488PCNT_568AC3_647MAP2_d38_3-10_40x_2026-06-02_F06</t>
  </si>
  <si>
    <t>E6_gCl.5_405DAPI_488PCNT_568AC3_647MAP2_d38_3-10_40x_2026-06-02_F07</t>
  </si>
  <si>
    <t>% of cilia on soma</t>
  </si>
  <si>
    <t>Ciliated cells</t>
  </si>
  <si>
    <t>E6_gCl.5_405DAPI_488PCNT_568AC3_647MAP2_d38_3-10_40x_2026-06-02_F08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</si>
</sst>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19" sqref="D19"/>
    </sheetView>
  </sheetViews>
  <sheetFormatPr defaultRowHeight="15" x14ac:dyDescent="0.25"/>
  <cols>
    <col min="1" max="1" width="69.42578125" bestFit="1" customWidth="1"/>
    <col min="2" max="2" width="6.7109375" bestFit="1" customWidth="1"/>
    <col min="3" max="3" width="13.28515625" bestFit="1" customWidth="1"/>
    <col min="4" max="4" width="13.28515625" customWidth="1"/>
    <col min="5" max="5" width="16.85546875" bestFit="1" customWidth="1"/>
    <col min="6" max="6" width="4.85546875" bestFit="1" customWidth="1"/>
    <col min="7" max="7" width="8.7109375" bestFit="1" customWidth="1"/>
    <col min="8" max="8" width="15.7109375" bestFit="1" customWidth="1"/>
    <col min="9" max="9" width="13.28515625" bestFit="1" customWidth="1"/>
    <col min="11" max="11" width="76.7109375" bestFit="1" customWidth="1"/>
  </cols>
  <sheetData>
    <row r="1" spans="1:11" x14ac:dyDescent="0.25">
      <c r="D1">
        <f>ROUND(AVERAGE(D3:D15),0)</f>
        <v>36</v>
      </c>
      <c r="E1">
        <f>ROUND(AVERAGE(E3:E15),0)</f>
        <v>79</v>
      </c>
    </row>
    <row r="2" spans="1:11" x14ac:dyDescent="0.25">
      <c r="A2" t="s">
        <v>0</v>
      </c>
      <c r="B2" t="s">
        <v>5</v>
      </c>
      <c r="C2" t="s">
        <v>1</v>
      </c>
      <c r="D2" s="1" t="s">
        <v>29</v>
      </c>
      <c r="E2" s="1" t="s">
        <v>28</v>
      </c>
      <c r="F2" t="s">
        <v>2</v>
      </c>
      <c r="G2" t="s">
        <v>3</v>
      </c>
      <c r="H2" t="s">
        <v>6</v>
      </c>
      <c r="I2" t="s">
        <v>7</v>
      </c>
      <c r="J2" t="s">
        <v>9</v>
      </c>
      <c r="K2" t="s">
        <v>16</v>
      </c>
    </row>
    <row r="3" spans="1:11" x14ac:dyDescent="0.25">
      <c r="A3" t="s">
        <v>4</v>
      </c>
      <c r="B3">
        <v>23</v>
      </c>
      <c r="C3">
        <v>22</v>
      </c>
      <c r="D3" s="1">
        <f>ROUND(F3/B3*100,0)</f>
        <v>30</v>
      </c>
      <c r="E3" s="1">
        <f>ROUND(G3/F3*100,0)</f>
        <v>86</v>
      </c>
      <c r="F3">
        <v>7</v>
      </c>
      <c r="G3">
        <v>6</v>
      </c>
      <c r="H3">
        <v>1</v>
      </c>
      <c r="I3">
        <v>0</v>
      </c>
      <c r="J3" t="s">
        <v>10</v>
      </c>
    </row>
    <row r="4" spans="1:11" x14ac:dyDescent="0.25">
      <c r="A4" t="s">
        <v>8</v>
      </c>
      <c r="B4">
        <v>34</v>
      </c>
      <c r="C4">
        <v>28</v>
      </c>
      <c r="D4" s="1">
        <f t="shared" ref="D4:D15" si="0">ROUND(F4/B4*100,0)</f>
        <v>35</v>
      </c>
      <c r="E4" s="1">
        <f t="shared" ref="E4:E15" si="1">ROUND(G4/F4*100,0)</f>
        <v>100</v>
      </c>
      <c r="F4">
        <v>12</v>
      </c>
      <c r="G4">
        <v>12</v>
      </c>
      <c r="H4">
        <v>0</v>
      </c>
      <c r="I4">
        <v>0</v>
      </c>
      <c r="J4" t="s">
        <v>10</v>
      </c>
    </row>
    <row r="5" spans="1:11" x14ac:dyDescent="0.25">
      <c r="A5" t="s">
        <v>11</v>
      </c>
      <c r="B5">
        <v>37</v>
      </c>
      <c r="C5">
        <v>34</v>
      </c>
      <c r="D5" s="1">
        <f t="shared" si="0"/>
        <v>27</v>
      </c>
      <c r="E5" s="1">
        <f t="shared" si="1"/>
        <v>80</v>
      </c>
      <c r="F5">
        <v>10</v>
      </c>
      <c r="G5">
        <v>8</v>
      </c>
      <c r="H5" t="s">
        <v>12</v>
      </c>
      <c r="I5">
        <v>0</v>
      </c>
      <c r="J5">
        <v>1</v>
      </c>
    </row>
    <row r="6" spans="1:11" x14ac:dyDescent="0.25">
      <c r="A6" t="s">
        <v>14</v>
      </c>
      <c r="B6">
        <v>30</v>
      </c>
      <c r="C6">
        <v>28</v>
      </c>
      <c r="D6" s="1">
        <f t="shared" si="0"/>
        <v>27</v>
      </c>
      <c r="E6" s="1">
        <f t="shared" si="1"/>
        <v>0</v>
      </c>
      <c r="F6">
        <v>8</v>
      </c>
      <c r="H6" t="s">
        <v>13</v>
      </c>
      <c r="I6">
        <v>0</v>
      </c>
      <c r="J6">
        <v>2</v>
      </c>
    </row>
    <row r="7" spans="1:11" x14ac:dyDescent="0.25">
      <c r="A7" t="s">
        <v>15</v>
      </c>
      <c r="B7">
        <v>47</v>
      </c>
      <c r="C7">
        <v>47</v>
      </c>
      <c r="D7" s="1">
        <f t="shared" si="0"/>
        <v>21</v>
      </c>
      <c r="E7" s="1">
        <f t="shared" si="1"/>
        <v>80</v>
      </c>
      <c r="F7">
        <v>10</v>
      </c>
      <c r="G7">
        <v>8</v>
      </c>
      <c r="H7">
        <v>2</v>
      </c>
      <c r="I7">
        <v>0</v>
      </c>
      <c r="J7">
        <v>0</v>
      </c>
    </row>
    <row r="8" spans="1:11" x14ac:dyDescent="0.25">
      <c r="A8" t="s">
        <v>18</v>
      </c>
      <c r="B8">
        <v>17</v>
      </c>
      <c r="C8">
        <v>17</v>
      </c>
      <c r="D8" s="1">
        <f t="shared" si="0"/>
        <v>53</v>
      </c>
      <c r="E8" s="1">
        <f t="shared" si="1"/>
        <v>78</v>
      </c>
      <c r="F8">
        <v>9</v>
      </c>
      <c r="G8">
        <v>7</v>
      </c>
      <c r="H8">
        <v>0</v>
      </c>
      <c r="I8">
        <v>2</v>
      </c>
      <c r="J8">
        <v>0</v>
      </c>
      <c r="K8" t="s">
        <v>17</v>
      </c>
    </row>
    <row r="9" spans="1:11" x14ac:dyDescent="0.25">
      <c r="A9" t="s">
        <v>19</v>
      </c>
      <c r="B9">
        <v>38</v>
      </c>
      <c r="C9">
        <v>31</v>
      </c>
      <c r="D9" s="1">
        <f t="shared" si="0"/>
        <v>39</v>
      </c>
      <c r="E9" s="1">
        <f t="shared" si="1"/>
        <v>80</v>
      </c>
      <c r="F9">
        <v>15</v>
      </c>
      <c r="G9">
        <v>12</v>
      </c>
      <c r="H9">
        <v>3</v>
      </c>
      <c r="I9">
        <v>0</v>
      </c>
      <c r="J9">
        <v>0</v>
      </c>
      <c r="K9" t="s">
        <v>20</v>
      </c>
    </row>
    <row r="10" spans="1:11" x14ac:dyDescent="0.25">
      <c r="A10" t="s">
        <v>21</v>
      </c>
      <c r="B10">
        <v>55</v>
      </c>
      <c r="C10">
        <v>58</v>
      </c>
      <c r="D10" s="1">
        <f t="shared" si="0"/>
        <v>45</v>
      </c>
      <c r="E10" s="1">
        <f t="shared" si="1"/>
        <v>92</v>
      </c>
      <c r="F10">
        <v>25</v>
      </c>
      <c r="G10">
        <v>23</v>
      </c>
      <c r="H10">
        <v>2</v>
      </c>
      <c r="I10">
        <v>0</v>
      </c>
      <c r="J10">
        <v>0</v>
      </c>
    </row>
    <row r="11" spans="1:11" x14ac:dyDescent="0.25">
      <c r="A11" t="s">
        <v>22</v>
      </c>
      <c r="B11">
        <v>22</v>
      </c>
      <c r="C11">
        <v>20</v>
      </c>
      <c r="D11" s="1">
        <f t="shared" si="0"/>
        <v>41</v>
      </c>
      <c r="E11" s="1">
        <f t="shared" si="1"/>
        <v>89</v>
      </c>
      <c r="F11">
        <v>9</v>
      </c>
      <c r="G11">
        <v>8</v>
      </c>
      <c r="H11">
        <v>1</v>
      </c>
      <c r="I11">
        <v>0</v>
      </c>
      <c r="K11" t="s">
        <v>23</v>
      </c>
    </row>
    <row r="12" spans="1:11" x14ac:dyDescent="0.25">
      <c r="A12" t="s">
        <v>24</v>
      </c>
      <c r="B12">
        <v>22</v>
      </c>
      <c r="C12">
        <v>22</v>
      </c>
      <c r="D12" s="1">
        <f t="shared" si="0"/>
        <v>41</v>
      </c>
      <c r="E12" s="1">
        <f t="shared" si="1"/>
        <v>89</v>
      </c>
      <c r="F12">
        <v>9</v>
      </c>
      <c r="G12">
        <v>8</v>
      </c>
      <c r="H12">
        <v>0</v>
      </c>
      <c r="I12">
        <v>1</v>
      </c>
    </row>
    <row r="13" spans="1:11" x14ac:dyDescent="0.25">
      <c r="A13" t="s">
        <v>26</v>
      </c>
      <c r="B13">
        <v>29</v>
      </c>
      <c r="C13">
        <v>28</v>
      </c>
      <c r="D13" s="1">
        <f t="shared" si="0"/>
        <v>38</v>
      </c>
      <c r="E13" s="1">
        <f t="shared" si="1"/>
        <v>82</v>
      </c>
      <c r="F13">
        <v>11</v>
      </c>
      <c r="G13">
        <v>9</v>
      </c>
      <c r="H13">
        <v>1</v>
      </c>
      <c r="I13">
        <v>1</v>
      </c>
      <c r="K13" t="s">
        <v>25</v>
      </c>
    </row>
    <row r="14" spans="1:11" x14ac:dyDescent="0.25">
      <c r="A14" t="s">
        <v>27</v>
      </c>
      <c r="B14">
        <v>26</v>
      </c>
      <c r="C14">
        <v>20</v>
      </c>
      <c r="D14" s="1">
        <f t="shared" si="0"/>
        <v>38</v>
      </c>
      <c r="E14" s="1">
        <f t="shared" si="1"/>
        <v>80</v>
      </c>
      <c r="F14">
        <v>10</v>
      </c>
      <c r="G14">
        <v>8</v>
      </c>
      <c r="H14">
        <v>1</v>
      </c>
      <c r="I14">
        <v>1</v>
      </c>
    </row>
    <row r="15" spans="1:11" x14ac:dyDescent="0.25">
      <c r="A15" t="s">
        <v>30</v>
      </c>
      <c r="B15">
        <v>49</v>
      </c>
      <c r="C15">
        <v>46</v>
      </c>
      <c r="D15" s="1">
        <f t="shared" si="0"/>
        <v>33</v>
      </c>
      <c r="E15" s="1">
        <f t="shared" si="1"/>
        <v>94</v>
      </c>
      <c r="F15">
        <v>16</v>
      </c>
      <c r="G15">
        <v>15</v>
      </c>
      <c r="H15">
        <v>1</v>
      </c>
      <c r="I15">
        <v>0</v>
      </c>
      <c r="J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Lobriglio (tlobri)</dc:creator>
  <cp:lastModifiedBy>Thomas Lobriglio</cp:lastModifiedBy>
  <dcterms:created xsi:type="dcterms:W3CDTF">2015-06-05T18:19:34Z</dcterms:created>
  <dcterms:modified xsi:type="dcterms:W3CDTF">2026-06-05T09:20:22Z</dcterms:modified>
</cp:coreProperties>
</file>